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godi\Downloads\"/>
    </mc:Choice>
  </mc:AlternateContent>
  <xr:revisionPtr revIDLastSave="0" documentId="13_ncr:1_{BB998B60-EE10-4919-8788-5B22C297A3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tcoin 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I4" i="1"/>
</calcChain>
</file>

<file path=xl/sharedStrings.xml><?xml version="1.0" encoding="utf-8"?>
<sst xmlns="http://schemas.openxmlformats.org/spreadsheetml/2006/main" count="153" uniqueCount="109">
  <si>
    <t>Company</t>
  </si>
  <si>
    <t>Ticker</t>
  </si>
  <si>
    <t>Country</t>
  </si>
  <si>
    <t>Sector</t>
  </si>
  <si>
    <t>BTC Exposure Group</t>
  </si>
  <si>
    <t>Reason for Inclusion</t>
  </si>
  <si>
    <t>Annual Report Link</t>
  </si>
  <si>
    <t>BTC Holdings</t>
  </si>
  <si>
    <t>BTC % of Assets</t>
  </si>
  <si>
    <t>Notes</t>
  </si>
  <si>
    <t>The Smarter Web Company</t>
  </si>
  <si>
    <t>SWC.AQ</t>
  </si>
  <si>
    <t>UK</t>
  </si>
  <si>
    <t>Technology</t>
  </si>
  <si>
    <t>High</t>
  </si>
  <si>
    <t>UK Bitcoin treasury company</t>
  </si>
  <si>
    <t>Satsuma Technology</t>
  </si>
  <si>
    <t>SATS.L</t>
  </si>
  <si>
    <t>UK-listed Bitcoin holder</t>
  </si>
  <si>
    <t>London Bitcoin Company</t>
  </si>
  <si>
    <t>BTC.L</t>
  </si>
  <si>
    <t>Bitcoin Treasury</t>
  </si>
  <si>
    <t>Bitcoin-focused company</t>
  </si>
  <si>
    <t>Coinsilium</t>
  </si>
  <si>
    <t>COIN.AQ</t>
  </si>
  <si>
    <t>Blockchain Investment</t>
  </si>
  <si>
    <t>Medium</t>
  </si>
  <si>
    <t>Early blockchain investment firm</t>
  </si>
  <si>
    <t>Blue Star Capital</t>
  </si>
  <si>
    <t>BLU.L</t>
  </si>
  <si>
    <t>Investment</t>
  </si>
  <si>
    <t>Low</t>
  </si>
  <si>
    <t>Investment company with BTC exposure</t>
  </si>
  <si>
    <t>Vaultz Capital</t>
  </si>
  <si>
    <t>V3TC.AQ</t>
  </si>
  <si>
    <t>Bitcoin treasury strategy</t>
  </si>
  <si>
    <t>Tap Global</t>
  </si>
  <si>
    <t>TAP.AQ</t>
  </si>
  <si>
    <t>FinTech</t>
  </si>
  <si>
    <t>FinTech with Bitcoin exposure</t>
  </si>
  <si>
    <t>B HODL</t>
  </si>
  <si>
    <t>HODL.AQ</t>
  </si>
  <si>
    <t>Bitcoin investment company</t>
  </si>
  <si>
    <t>Strategy</t>
  </si>
  <si>
    <t>MSTR</t>
  </si>
  <si>
    <t>USA</t>
  </si>
  <si>
    <t>Software</t>
  </si>
  <si>
    <t>Largest corporate BTC holder</t>
  </si>
  <si>
    <t>Tesla</t>
  </si>
  <si>
    <t>TSLA</t>
  </si>
  <si>
    <t>Automotive</t>
  </si>
  <si>
    <t>Traditional company with BTC</t>
  </si>
  <si>
    <t>Block</t>
  </si>
  <si>
    <t>XYZ</t>
  </si>
  <si>
    <t>Corporate BTC treasury</t>
  </si>
  <si>
    <t>Coinbase</t>
  </si>
  <si>
    <t>COIN</t>
  </si>
  <si>
    <t>Crypto Exchange</t>
  </si>
  <si>
    <t>Crypto financial services</t>
  </si>
  <si>
    <t>MARA Holdings</t>
  </si>
  <si>
    <t>MARA</t>
  </si>
  <si>
    <t>Bitcoin Mining</t>
  </si>
  <si>
    <t>Bitcoin miner</t>
  </si>
  <si>
    <t>Riot Platforms</t>
  </si>
  <si>
    <t>RIOT</t>
  </si>
  <si>
    <t>Hut 8</t>
  </si>
  <si>
    <t>HUT</t>
  </si>
  <si>
    <t>Bitcoin miner/infrastructure</t>
  </si>
  <si>
    <t>CleanSpark</t>
  </si>
  <si>
    <t>CLSK</t>
  </si>
  <si>
    <t>Metaplanet</t>
  </si>
  <si>
    <t>3350.T</t>
  </si>
  <si>
    <t>Japan</t>
  </si>
  <si>
    <t>Nexon</t>
  </si>
  <si>
    <t>3659.T</t>
  </si>
  <si>
    <t>Gaming</t>
  </si>
  <si>
    <t>Traditional listed company</t>
  </si>
  <si>
    <t>Aker ASA</t>
  </si>
  <si>
    <t>AKER.OL</t>
  </si>
  <si>
    <t>Norway</t>
  </si>
  <si>
    <t>Traditional investment company</t>
  </si>
  <si>
    <t>MercadoLibre</t>
  </si>
  <si>
    <t>MELI</t>
  </si>
  <si>
    <t>Argentina</t>
  </si>
  <si>
    <t>E-commerce</t>
  </si>
  <si>
    <t>Large multinational with BTC</t>
  </si>
  <si>
    <t>https://www.smarterwebcompany.co.uk/smarterweb-co-uk/_img/pdf/financial-reports/2026-02-20-SWC-Annual-Report.pdf</t>
  </si>
  <si>
    <t>https://www.londonstockexchange.com/news-article/SATS/annual-financial-report/17109015</t>
  </si>
  <si>
    <t>https://ldnbtc.com/wp-content/uploads/Financial-statements-for-period-ending-28-February-2026.pdf</t>
  </si>
  <si>
    <t>file:///C:/Users/ogodi/Downloads/Coinsilium%20Group%20accounts%20for%20YE%202025%20Final%20Execution%20Version%20.pdf</t>
  </si>
  <si>
    <t>https://www.annualreports.com/HostedData/AnnualReports/PDF/LSE_BLU_2025.pdf</t>
  </si>
  <si>
    <t>https://e5464d0a-9a3d-42bd-8c7b-6b98ab79ba38.filesusr.com/ugd/e4e043_7182ee3f3800449c8ee57b429bb392df.pdf</t>
  </si>
  <si>
    <t>https://cdn.prod.website-files.com/63bacd6615cbc75f9390ea3f/69576fe77695f581f7c9f4b4_Tap%20Global%20Group%20FY%202025.pdf</t>
  </si>
  <si>
    <t>https://bhodl.com/investors/files/BHODL-Unaudited-Interim-Financial-Statements-to-31-DEC-2025.pdf</t>
  </si>
  <si>
    <t>https://assets.contentstack.io/v3/assets/bltf8d808d9b8cebd37/bltde5143f70da13f21/69f0fae2619c3f5fb92353d2/2025_Annual_Report.pdf</t>
  </si>
  <si>
    <t>https://ir.tesla.com/_flysystem/s3/sec/000162828026003952/tsla-20251231-gen.pdf</t>
  </si>
  <si>
    <t>https://s29.q4cdn.com/628966176/files/doc_financials/2026/ar/Block-Inc-2025-ARS.pdf</t>
  </si>
  <si>
    <t>https://s27.q4cdn.com/397450999/files/doc_financials/2025/q4/Form-10K-2025.pdf</t>
  </si>
  <si>
    <t>https://ir.mara.com/sec-filings/all-sec-filings/content/0001641172-25-007850/0001641172-25-007850.pdf</t>
  </si>
  <si>
    <t>https://www.riotplatforms.com/overview/sec-filings/annual-reports/</t>
  </si>
  <si>
    <t>https://www.sec.gov/Archives/edgar/data/1964789/000110465926049721/tm2534221d3_ars.pdf</t>
  </si>
  <si>
    <t>https://s21.q4cdn.com/978676932/files/doc_financials/2025/ar/a9d6f8ee-78dc-47ab-be87-088d725dcd55.pdf</t>
  </si>
  <si>
    <t>https://www.otcmarkets.com/file/company/financial-report/525983/content</t>
  </si>
  <si>
    <t>https://companiesmarketcap.com/annual-reports/11308.ar.en.2025.pdf</t>
  </si>
  <si>
    <t>https://www.akerasa.com/~/media/Files/A/aker-corp/results-and-presentations/Aker%20ASA%20Annual%20Report%202025.pdf</t>
  </si>
  <si>
    <t>Total Assets (GPB)</t>
  </si>
  <si>
    <t>Total Liabilities (GPB)</t>
  </si>
  <si>
    <t>Total Equity (GBP)</t>
  </si>
  <si>
    <t>BTC Value (GBP)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</si>
</sst>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F17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1" fillId="0" borderId="0" xfId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ondonstockexchange.com/news-article/SATS/annual-financial-report/17109015" TargetMode="External"/><Relationship Id="rId1" Type="http://schemas.openxmlformats.org/officeDocument/2006/relationships/hyperlink" Target="https://bhodl.com/investors/files/BHODL-Unaudited-Interim-Financial-Statements-to-31-DEC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G1" zoomScale="68" zoomScaleNormal="68" workbookViewId="0">
      <selection activeCell="M32" sqref="M32"/>
    </sheetView>
  </sheetViews>
  <sheetFormatPr defaultRowHeight="14.4" x14ac:dyDescent="0.3"/>
  <cols>
    <col min="1" max="1" width="30.5546875" customWidth="1"/>
    <col min="6" max="6" width="35.5546875" customWidth="1"/>
    <col min="7" max="7" width="129.88671875" customWidth="1"/>
    <col min="8" max="8" width="44.77734375" customWidth="1"/>
    <col min="9" max="9" width="21.44140625" customWidth="1"/>
    <col min="10" max="10" width="24.6640625" customWidth="1"/>
    <col min="11" max="11" width="36.21875" customWidth="1"/>
    <col min="12" max="12" width="17.77734375" customWidth="1"/>
    <col min="13" max="13" width="2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105</v>
      </c>
      <c r="I1" t="s">
        <v>106</v>
      </c>
      <c r="J1" t="s">
        <v>107</v>
      </c>
      <c r="K1" t="s">
        <v>7</v>
      </c>
      <c r="L1" t="s">
        <v>108</v>
      </c>
      <c r="M1" t="s">
        <v>8</v>
      </c>
      <c r="N1" t="s">
        <v>9</v>
      </c>
    </row>
    <row r="2" spans="1:14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86</v>
      </c>
      <c r="H2" s="1">
        <v>223040392</v>
      </c>
      <c r="I2" s="1">
        <v>12661040</v>
      </c>
      <c r="J2" s="1">
        <v>210379352</v>
      </c>
      <c r="K2" s="3">
        <v>2878</v>
      </c>
      <c r="L2">
        <f>K2*47123.45</f>
        <v>135621289.09999999</v>
      </c>
      <c r="M2">
        <f>L2/H2 * 100</f>
        <v>60.805707828920966</v>
      </c>
    </row>
    <row r="3" spans="1:14" x14ac:dyDescent="0.3">
      <c r="A3" t="s">
        <v>16</v>
      </c>
      <c r="B3" t="s">
        <v>17</v>
      </c>
      <c r="C3" t="s">
        <v>12</v>
      </c>
      <c r="D3" t="s">
        <v>13</v>
      </c>
      <c r="E3" t="s">
        <v>14</v>
      </c>
      <c r="F3" t="s">
        <v>18</v>
      </c>
      <c r="G3" s="2" t="s">
        <v>87</v>
      </c>
      <c r="H3">
        <v>351000</v>
      </c>
      <c r="I3">
        <v>464000</v>
      </c>
      <c r="J3">
        <v>-113000</v>
      </c>
      <c r="K3" s="4">
        <v>668</v>
      </c>
      <c r="L3">
        <f t="shared" ref="L3:L21" si="0">K3*47123.45</f>
        <v>31478464.599999998</v>
      </c>
      <c r="M3">
        <f t="shared" ref="M3:M21" si="1">L3/H3 * 100</f>
        <v>8968.2235327635317</v>
      </c>
    </row>
    <row r="4" spans="1:14" x14ac:dyDescent="0.3">
      <c r="A4" t="s">
        <v>19</v>
      </c>
      <c r="B4" t="s">
        <v>20</v>
      </c>
      <c r="C4" t="s">
        <v>12</v>
      </c>
      <c r="D4" t="s">
        <v>21</v>
      </c>
      <c r="E4" t="s">
        <v>14</v>
      </c>
      <c r="F4" t="s">
        <v>22</v>
      </c>
      <c r="G4" t="s">
        <v>88</v>
      </c>
      <c r="H4" s="1">
        <v>4265230</v>
      </c>
      <c r="I4" s="1">
        <f>H4-J4</f>
        <v>392117</v>
      </c>
      <c r="J4" s="1">
        <v>3873113</v>
      </c>
      <c r="K4" s="4">
        <v>85</v>
      </c>
      <c r="L4">
        <f t="shared" si="0"/>
        <v>4005493.2499999995</v>
      </c>
      <c r="M4">
        <f t="shared" si="1"/>
        <v>93.910369429081186</v>
      </c>
    </row>
    <row r="5" spans="1:14" x14ac:dyDescent="0.3">
      <c r="A5" t="s">
        <v>23</v>
      </c>
      <c r="B5" t="s">
        <v>24</v>
      </c>
      <c r="C5" t="s">
        <v>12</v>
      </c>
      <c r="D5" t="s">
        <v>25</v>
      </c>
      <c r="E5" t="s">
        <v>26</v>
      </c>
      <c r="F5" t="s">
        <v>27</v>
      </c>
      <c r="G5" t="s">
        <v>89</v>
      </c>
      <c r="H5" s="1">
        <v>14761777</v>
      </c>
      <c r="I5" s="1">
        <v>161473</v>
      </c>
      <c r="J5" s="1">
        <v>14600304</v>
      </c>
      <c r="K5" s="5">
        <v>182</v>
      </c>
      <c r="L5">
        <f t="shared" si="0"/>
        <v>8576467.9000000004</v>
      </c>
      <c r="M5">
        <f t="shared" si="1"/>
        <v>58.099156354956463</v>
      </c>
    </row>
    <row r="6" spans="1:14" x14ac:dyDescent="0.3">
      <c r="A6" t="s">
        <v>28</v>
      </c>
      <c r="B6" t="s">
        <v>29</v>
      </c>
      <c r="C6" t="s">
        <v>12</v>
      </c>
      <c r="D6" t="s">
        <v>30</v>
      </c>
      <c r="E6" t="s">
        <v>31</v>
      </c>
      <c r="F6" t="s">
        <v>32</v>
      </c>
      <c r="G6" t="s">
        <v>90</v>
      </c>
      <c r="H6" s="1">
        <v>2893377</v>
      </c>
      <c r="I6" s="1">
        <v>27482</v>
      </c>
      <c r="J6" s="1">
        <v>2865895</v>
      </c>
      <c r="K6" s="6">
        <v>9</v>
      </c>
      <c r="L6">
        <f t="shared" si="0"/>
        <v>424111.05</v>
      </c>
      <c r="M6">
        <f t="shared" si="1"/>
        <v>14.657994792935728</v>
      </c>
    </row>
    <row r="7" spans="1:14" x14ac:dyDescent="0.3">
      <c r="A7" t="s">
        <v>33</v>
      </c>
      <c r="B7" t="s">
        <v>34</v>
      </c>
      <c r="C7" t="s">
        <v>12</v>
      </c>
      <c r="D7" t="s">
        <v>30</v>
      </c>
      <c r="E7" t="s">
        <v>26</v>
      </c>
      <c r="F7" t="s">
        <v>35</v>
      </c>
      <c r="G7" t="s">
        <v>91</v>
      </c>
      <c r="H7" s="1">
        <v>74883</v>
      </c>
      <c r="I7" s="1">
        <v>401340</v>
      </c>
      <c r="J7" s="1">
        <v>326457</v>
      </c>
      <c r="K7" s="5">
        <v>177</v>
      </c>
      <c r="L7">
        <f t="shared" si="0"/>
        <v>8340850.6499999994</v>
      </c>
      <c r="M7">
        <f t="shared" si="1"/>
        <v>11138.510276030607</v>
      </c>
    </row>
    <row r="8" spans="1:14" x14ac:dyDescent="0.3">
      <c r="A8" t="s">
        <v>36</v>
      </c>
      <c r="B8" t="s">
        <v>37</v>
      </c>
      <c r="C8" t="s">
        <v>12</v>
      </c>
      <c r="D8" t="s">
        <v>38</v>
      </c>
      <c r="E8" t="s">
        <v>26</v>
      </c>
      <c r="F8" t="s">
        <v>39</v>
      </c>
      <c r="G8" t="s">
        <v>92</v>
      </c>
      <c r="H8" s="1">
        <v>4857291</v>
      </c>
      <c r="I8" s="1">
        <v>966268</v>
      </c>
      <c r="J8" s="1">
        <v>2848703</v>
      </c>
      <c r="K8" s="3">
        <v>5</v>
      </c>
      <c r="L8">
        <f t="shared" si="0"/>
        <v>235617.25</v>
      </c>
      <c r="M8">
        <f t="shared" si="1"/>
        <v>4.850795433092232</v>
      </c>
    </row>
    <row r="9" spans="1:14" x14ac:dyDescent="0.3">
      <c r="A9" t="s">
        <v>40</v>
      </c>
      <c r="B9" t="s">
        <v>41</v>
      </c>
      <c r="C9" t="s">
        <v>12</v>
      </c>
      <c r="D9" t="s">
        <v>30</v>
      </c>
      <c r="E9" t="s">
        <v>14</v>
      </c>
      <c r="F9" t="s">
        <v>42</v>
      </c>
      <c r="G9" s="2" t="s">
        <v>93</v>
      </c>
      <c r="H9" s="1">
        <v>12082831</v>
      </c>
      <c r="I9" s="1">
        <v>416830</v>
      </c>
      <c r="J9" s="1">
        <v>11666001</v>
      </c>
      <c r="K9" s="5">
        <v>166</v>
      </c>
      <c r="L9">
        <f t="shared" si="0"/>
        <v>7822492.6999999993</v>
      </c>
      <c r="M9">
        <f t="shared" si="1"/>
        <v>64.740562042124054</v>
      </c>
    </row>
    <row r="10" spans="1:14" x14ac:dyDescent="0.3">
      <c r="A10" t="s">
        <v>43</v>
      </c>
      <c r="B10" t="s">
        <v>44</v>
      </c>
      <c r="C10" t="s">
        <v>45</v>
      </c>
      <c r="D10" t="s">
        <v>46</v>
      </c>
      <c r="E10" t="s">
        <v>14</v>
      </c>
      <c r="F10" t="s">
        <v>47</v>
      </c>
      <c r="G10" t="s">
        <v>94</v>
      </c>
      <c r="H10" s="1">
        <v>46854883248</v>
      </c>
      <c r="I10" s="1">
        <v>8055723624</v>
      </c>
      <c r="J10" s="1">
        <v>33536376710</v>
      </c>
      <c r="K10" s="3">
        <v>847363</v>
      </c>
      <c r="L10">
        <f t="shared" si="0"/>
        <v>39930667962.349998</v>
      </c>
      <c r="M10">
        <f t="shared" si="1"/>
        <v>85.221998635658608</v>
      </c>
    </row>
    <row r="11" spans="1:14" x14ac:dyDescent="0.3">
      <c r="A11" t="s">
        <v>48</v>
      </c>
      <c r="B11" t="s">
        <v>49</v>
      </c>
      <c r="C11" t="s">
        <v>45</v>
      </c>
      <c r="D11" t="s">
        <v>50</v>
      </c>
      <c r="E11" t="s">
        <v>31</v>
      </c>
      <c r="F11" t="s">
        <v>51</v>
      </c>
      <c r="G11" t="s">
        <v>95</v>
      </c>
      <c r="H11" s="1">
        <v>104749772000</v>
      </c>
      <c r="I11" s="1">
        <v>41761104000</v>
      </c>
      <c r="J11" s="1">
        <v>62988668000</v>
      </c>
      <c r="K11" s="3">
        <v>11509</v>
      </c>
      <c r="L11">
        <f t="shared" si="0"/>
        <v>542343786.04999995</v>
      </c>
      <c r="M11">
        <f t="shared" si="1"/>
        <v>0.51775175801814632</v>
      </c>
    </row>
    <row r="12" spans="1:14" x14ac:dyDescent="0.3">
      <c r="A12" t="s">
        <v>52</v>
      </c>
      <c r="B12" t="s">
        <v>53</v>
      </c>
      <c r="C12" t="s">
        <v>45</v>
      </c>
      <c r="D12" t="s">
        <v>38</v>
      </c>
      <c r="E12" t="s">
        <v>26</v>
      </c>
      <c r="F12" t="s">
        <v>54</v>
      </c>
      <c r="G12" t="s">
        <v>96</v>
      </c>
      <c r="H12" s="1">
        <v>30062918949</v>
      </c>
      <c r="I12" s="1">
        <v>13210741800</v>
      </c>
      <c r="J12" s="1">
        <v>16852177149</v>
      </c>
      <c r="K12" s="3">
        <v>9032</v>
      </c>
      <c r="L12">
        <f t="shared" si="0"/>
        <v>425619000.39999998</v>
      </c>
      <c r="M12">
        <f t="shared" si="1"/>
        <v>1.4157607287636904</v>
      </c>
    </row>
    <row r="13" spans="1:14" x14ac:dyDescent="0.3">
      <c r="A13" t="s">
        <v>55</v>
      </c>
      <c r="B13" t="s">
        <v>56</v>
      </c>
      <c r="C13" t="s">
        <v>45</v>
      </c>
      <c r="D13" t="s">
        <v>57</v>
      </c>
      <c r="E13" t="s">
        <v>26</v>
      </c>
      <c r="F13" t="s">
        <v>58</v>
      </c>
      <c r="G13" t="s">
        <v>97</v>
      </c>
      <c r="H13" s="1">
        <v>22553840073</v>
      </c>
      <c r="I13" s="1">
        <v>11309496808</v>
      </c>
      <c r="J13" s="1">
        <v>11244343265</v>
      </c>
      <c r="K13" s="3">
        <v>16492</v>
      </c>
      <c r="L13">
        <f t="shared" si="0"/>
        <v>777159937.39999998</v>
      </c>
      <c r="M13">
        <f t="shared" si="1"/>
        <v>3.445798741520588</v>
      </c>
    </row>
    <row r="14" spans="1:14" x14ac:dyDescent="0.3">
      <c r="A14" t="s">
        <v>59</v>
      </c>
      <c r="B14" t="s">
        <v>60</v>
      </c>
      <c r="C14" t="s">
        <v>45</v>
      </c>
      <c r="D14" t="s">
        <v>61</v>
      </c>
      <c r="E14" t="s">
        <v>14</v>
      </c>
      <c r="F14" t="s">
        <v>62</v>
      </c>
      <c r="G14" t="s">
        <v>98</v>
      </c>
      <c r="H14" s="1">
        <v>5169745363</v>
      </c>
      <c r="I14" s="1">
        <v>2025976741</v>
      </c>
      <c r="J14" s="1">
        <v>3143768623</v>
      </c>
      <c r="K14" s="3">
        <v>36303</v>
      </c>
      <c r="L14">
        <f t="shared" si="0"/>
        <v>1710722605.3499999</v>
      </c>
      <c r="M14">
        <f t="shared" si="1"/>
        <v>33.091041922367886</v>
      </c>
    </row>
    <row r="15" spans="1:14" x14ac:dyDescent="0.3">
      <c r="A15" t="s">
        <v>63</v>
      </c>
      <c r="B15" t="s">
        <v>64</v>
      </c>
      <c r="C15" t="s">
        <v>45</v>
      </c>
      <c r="D15" t="s">
        <v>61</v>
      </c>
      <c r="E15" t="s">
        <v>14</v>
      </c>
      <c r="F15" t="s">
        <v>62</v>
      </c>
      <c r="G15" t="s">
        <v>99</v>
      </c>
      <c r="H15" s="1">
        <v>2992730857</v>
      </c>
      <c r="I15" s="1">
        <v>819662234</v>
      </c>
      <c r="J15" s="1">
        <v>2173068623</v>
      </c>
      <c r="K15" s="3">
        <v>15680</v>
      </c>
      <c r="L15">
        <f t="shared" si="0"/>
        <v>738895696</v>
      </c>
      <c r="M15">
        <f t="shared" si="1"/>
        <v>24.689680806803</v>
      </c>
    </row>
    <row r="16" spans="1:14" x14ac:dyDescent="0.3">
      <c r="A16" t="s">
        <v>65</v>
      </c>
      <c r="B16" t="s">
        <v>66</v>
      </c>
      <c r="C16" t="s">
        <v>45</v>
      </c>
      <c r="D16" t="s">
        <v>61</v>
      </c>
      <c r="E16" t="s">
        <v>14</v>
      </c>
      <c r="F16" t="s">
        <v>67</v>
      </c>
      <c r="G16" t="s">
        <v>100</v>
      </c>
      <c r="H16" s="1">
        <v>2093128611</v>
      </c>
      <c r="I16" s="1">
        <v>808946488</v>
      </c>
      <c r="J16" s="1">
        <v>1284182122</v>
      </c>
      <c r="K16" s="3">
        <v>10278</v>
      </c>
      <c r="L16">
        <f t="shared" si="0"/>
        <v>484334819.09999996</v>
      </c>
      <c r="M16">
        <f t="shared" si="1"/>
        <v>23.139276609888164</v>
      </c>
    </row>
    <row r="17" spans="1:13" x14ac:dyDescent="0.3">
      <c r="A17" t="s">
        <v>68</v>
      </c>
      <c r="B17" t="s">
        <v>69</v>
      </c>
      <c r="C17" t="s">
        <v>45</v>
      </c>
      <c r="D17" t="s">
        <v>61</v>
      </c>
      <c r="E17" t="s">
        <v>14</v>
      </c>
      <c r="F17" t="s">
        <v>62</v>
      </c>
      <c r="G17" t="s">
        <v>101</v>
      </c>
      <c r="H17" s="1">
        <v>2419908027</v>
      </c>
      <c r="I17" s="1">
        <v>766573427</v>
      </c>
      <c r="J17" s="1">
        <v>1653334600</v>
      </c>
      <c r="K17" s="3">
        <v>13470</v>
      </c>
      <c r="L17">
        <f t="shared" si="0"/>
        <v>634752871.5</v>
      </c>
      <c r="M17">
        <f t="shared" si="1"/>
        <v>26.23045439817453</v>
      </c>
    </row>
    <row r="18" spans="1:13" x14ac:dyDescent="0.3">
      <c r="A18" t="s">
        <v>70</v>
      </c>
      <c r="B18" t="s">
        <v>71</v>
      </c>
      <c r="C18" t="s">
        <v>72</v>
      </c>
      <c r="D18" t="s">
        <v>30</v>
      </c>
      <c r="E18" t="s">
        <v>14</v>
      </c>
      <c r="F18" t="s">
        <v>54</v>
      </c>
      <c r="G18" t="s">
        <v>102</v>
      </c>
      <c r="H18" s="1">
        <v>2575664381</v>
      </c>
      <c r="I18" s="1">
        <v>238024111</v>
      </c>
      <c r="J18" s="1">
        <v>2337640270</v>
      </c>
      <c r="K18" s="3">
        <v>43000</v>
      </c>
      <c r="L18">
        <f t="shared" si="0"/>
        <v>2026308349.9999998</v>
      </c>
      <c r="M18">
        <f t="shared" si="1"/>
        <v>78.671288268283107</v>
      </c>
    </row>
    <row r="19" spans="1:13" x14ac:dyDescent="0.3">
      <c r="A19" t="s">
        <v>73</v>
      </c>
      <c r="B19" t="s">
        <v>74</v>
      </c>
      <c r="C19" t="s">
        <v>72</v>
      </c>
      <c r="D19" t="s">
        <v>75</v>
      </c>
      <c r="E19" t="s">
        <v>31</v>
      </c>
      <c r="F19" t="s">
        <v>76</v>
      </c>
      <c r="G19" t="s">
        <v>103</v>
      </c>
      <c r="H19" s="1">
        <v>7188418874</v>
      </c>
      <c r="I19" s="1">
        <v>1754890596</v>
      </c>
      <c r="J19" s="1">
        <v>5433528278</v>
      </c>
      <c r="K19" s="3">
        <v>1717</v>
      </c>
      <c r="L19">
        <f t="shared" si="0"/>
        <v>80910963.649999991</v>
      </c>
      <c r="M19">
        <f t="shared" si="1"/>
        <v>1.1255738580099888</v>
      </c>
    </row>
    <row r="20" spans="1:13" x14ac:dyDescent="0.3">
      <c r="A20" t="s">
        <v>77</v>
      </c>
      <c r="B20" t="s">
        <v>78</v>
      </c>
      <c r="C20" t="s">
        <v>79</v>
      </c>
      <c r="D20" t="s">
        <v>30</v>
      </c>
      <c r="E20" t="s">
        <v>31</v>
      </c>
      <c r="F20" t="s">
        <v>80</v>
      </c>
      <c r="G20" t="s">
        <v>104</v>
      </c>
      <c r="H20" s="1">
        <v>2451743644</v>
      </c>
      <c r="I20" s="1">
        <v>1108802776</v>
      </c>
      <c r="J20" s="1">
        <v>1342867973</v>
      </c>
      <c r="K20" s="5">
        <v>754</v>
      </c>
      <c r="L20">
        <f t="shared" si="0"/>
        <v>35531081.299999997</v>
      </c>
      <c r="M20">
        <f t="shared" si="1"/>
        <v>1.449216821136786</v>
      </c>
    </row>
    <row r="21" spans="1:13" x14ac:dyDescent="0.3">
      <c r="A21" t="s">
        <v>81</v>
      </c>
      <c r="B21" t="s">
        <v>82</v>
      </c>
      <c r="C21" t="s">
        <v>83</v>
      </c>
      <c r="D21" t="s">
        <v>84</v>
      </c>
      <c r="E21" t="s">
        <v>31</v>
      </c>
      <c r="F21" t="s">
        <v>85</v>
      </c>
      <c r="H21" s="1">
        <v>32429347826</v>
      </c>
      <c r="I21" s="1">
        <v>27301915476</v>
      </c>
      <c r="J21" s="1">
        <v>5127432350</v>
      </c>
      <c r="K21" s="5">
        <v>570</v>
      </c>
      <c r="L21">
        <f t="shared" si="0"/>
        <v>26860366.5</v>
      </c>
      <c r="M21">
        <f t="shared" si="1"/>
        <v>8.2827340975586597E-2</v>
      </c>
    </row>
  </sheetData>
  <hyperlinks>
    <hyperlink ref="G9" r:id="rId1" xr:uid="{EFFCCC3B-4D01-4FA6-A2CD-8D2B25AD2C4A}"/>
    <hyperlink ref="G3" r:id="rId2" xr:uid="{CE54E7F2-0AD2-4C3A-98B4-D8BF08C93D0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Bitcoin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24DOgodi</cp:lastModifiedBy>
  <dcterms:created xsi:type="dcterms:W3CDTF">2026-06-30T13:53:38Z</dcterms:created>
  <dcterms:modified xsi:type="dcterms:W3CDTF">2026-07-13T09:04:13Z</dcterms:modified>
</cp:coreProperties>
</file>